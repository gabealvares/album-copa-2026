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ário" sheetId="1" state="visible" r:id="rId3"/>
    <sheet name="Textos LinkedIn" sheetId="2" state="visible" r:id="rId4"/>
    <sheet name="Como us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<sst xmlns="http://schemas.openxmlformats.org/spreadsheetml/2006/main" count="248" uniqueCount="163">
  <si>
    <t xml:space="preserve">Calendário editorial · Blog + LinkedIn · outubro a dezembro de 2026</t>
  </si>
  <si>
    <t xml:space="preserve">Fireflies Consultoria. Os artigos já entram agendados no WordPress pelo arquivo de importação. Colunas em amarelo são para a equipe preencher.</t>
  </si>
  <si>
    <t xml:space="preserve">Nº</t>
  </si>
  <si>
    <t xml:space="preserve">Data</t>
  </si>
  <si>
    <t xml:space="preserve">Dia</t>
  </si>
  <si>
    <t xml:space="preserve">Tipo</t>
  </si>
  <si>
    <t xml:space="preserve">Título</t>
  </si>
  <si>
    <t xml:space="preserve">Tema</t>
  </si>
  <si>
    <t xml:space="preserve">Link do artigo (com rastreio)</t>
  </si>
  <si>
    <t xml:space="preserve">Formato no LinkedIn</t>
  </si>
  <si>
    <t xml:space="preserve">Horário sugerido</t>
  </si>
  <si>
    <t xml:space="preserve">Dias até 01/12</t>
  </si>
  <si>
    <t xml:space="preserve">Status</t>
  </si>
  <si>
    <t xml:space="preserve">Responsável</t>
  </si>
  <si>
    <t xml:space="preserve">Observações</t>
  </si>
  <si>
    <t xml:space="preserve">qua</t>
  </si>
  <si>
    <t xml:space="preserve">Artigo</t>
  </si>
  <si>
    <t xml:space="preserve">Reforma tributária no condomínio: o que fazer até dezembro, começando pelo cadastro</t>
  </si>
  <si>
    <t xml:space="preserve">Reforma tributária · NFS-e</t>
  </si>
  <si>
    <t xml:space="preserve">https://fireflies.com.br/blog/reforma-tributaria-condominio-o-que-fazer-ate-dezembro/?utm_source=linkedin&amp;utm_medium=social&amp;utm_campaign=condominios-2026</t>
  </si>
  <si>
    <t xml:space="preserve">Post com imagem (capa do artigo)</t>
  </si>
  <si>
    <t xml:space="preserve">08h30</t>
  </si>
  <si>
    <t xml:space="preserve">Publicado</t>
  </si>
  <si>
    <t xml:space="preserve">sex</t>
  </si>
  <si>
    <t xml:space="preserve">Fundo de reserva não é caixa do mês</t>
  </si>
  <si>
    <t xml:space="preserve">Gestão financeira</t>
  </si>
  <si>
    <t xml:space="preserve">https://fireflies.com.br/blog/fundo-de-reserva-nao-e-caixa-do-mes/?utm_source=linkedin&amp;utm_medium=social&amp;utm_campaign=condominios-2026</t>
  </si>
  <si>
    <t xml:space="preserve">Post com imagem</t>
  </si>
  <si>
    <t xml:space="preserve">Agendado no site</t>
  </si>
  <si>
    <t xml:space="preserve">Auditoria condominial: ferramenta de gestão, apoio e segurança para a administradora</t>
  </si>
  <si>
    <t xml:space="preserve">Auditoria</t>
  </si>
  <si>
    <t xml:space="preserve">https://fireflies.com.br/blog/auditoria-condominial-para-administradoras/?utm_source=linkedin&amp;utm_medium=social&amp;utm_campaign=condominios-2026</t>
  </si>
  <si>
    <t xml:space="preserve">Carrossel (5 cards: gestão, apoio, segurança, riscos, como implantar)</t>
  </si>
  <si>
    <t xml:space="preserve">5 sinais de que as contas do condomínio pedem auditoria</t>
  </si>
  <si>
    <t xml:space="preserve">https://fireflies.com.br/blog/sinais-auditoria-condominio/?utm_source=linkedin&amp;utm_medium=social&amp;utm_campaign=condominios-2026</t>
  </si>
  <si>
    <t xml:space="preserve">Retenções na fonte no condomínio: o mapa completo de PCC, INSS, IRRF e ISS</t>
  </si>
  <si>
    <t xml:space="preserve">Retenções</t>
  </si>
  <si>
    <t xml:space="preserve">https://fireflies.com.br/blog/retencoes-na-fonte-no-condominio/?utm_source=linkedin&amp;utm_medium=social&amp;utm_campaign=condominios-2026</t>
  </si>
  <si>
    <t xml:space="preserve">Documento PDF (tabela do mapa) ou carrossel</t>
  </si>
  <si>
    <t xml:space="preserve">PIS, Cofins e CSLL retidos (4,65%): quando o condomínio deve reter</t>
  </si>
  <si>
    <t xml:space="preserve">Retenções · PCC</t>
  </si>
  <si>
    <t xml:space="preserve">https://fireflies.com.br/blog/retencao-pcc-condominio/?utm_source=linkedin&amp;utm_medium=social&amp;utm_campaign=condominios-2026</t>
  </si>
  <si>
    <t xml:space="preserve">Post com imagem (manutenção × conserto)</t>
  </si>
  <si>
    <t xml:space="preserve">INSS retido de 11% no condomínio: cessão de mão de obra, empreitada e as dispensas</t>
  </si>
  <si>
    <t xml:space="preserve">Retenções · INSS</t>
  </si>
  <si>
    <t xml:space="preserve">https://fireflies.com.br/blog/retencao-inss-11-condominio/?utm_source=linkedin&amp;utm_medium=social&amp;utm_campaign=condominios-2026</t>
  </si>
  <si>
    <t xml:space="preserve">Carrossel (quando retém, quando não, Simples, base de cálculo)</t>
  </si>
  <si>
    <t xml:space="preserve">Imposto de Renda na fonte: quando o condomínio retém (e quando não retém)</t>
  </si>
  <si>
    <t xml:space="preserve">Retenções · IRRF</t>
  </si>
  <si>
    <t xml:space="preserve">https://fireflies.com.br/blog/irrf-condominio-quando-reter/?utm_source=linkedin&amp;utm_medium=social&amp;utm_campaign=condominios-2026</t>
  </si>
  <si>
    <t xml:space="preserve">ISS retido pelo condomínio em São Paulo: os 7 serviços e o fim do CPOM</t>
  </si>
  <si>
    <t xml:space="preserve">Retenções · ISS</t>
  </si>
  <si>
    <t xml:space="preserve">https://fireflies.com.br/blog/iss-retido-condominio-sao-paulo/?utm_source=linkedin&amp;utm_medium=social&amp;utm_campaign=condominios-2026</t>
  </si>
  <si>
    <t xml:space="preserve">Post com imagem (lista dos 7 subitens)</t>
  </si>
  <si>
    <t xml:space="preserve">Contratou um MEI para pintura ou elétrica? O condomínio pode dever 20% de INSS</t>
  </si>
  <si>
    <t xml:space="preserve">Retenções · MEI</t>
  </si>
  <si>
    <t xml:space="preserve">https://fireflies.com.br/blog/condominio-contrata-mei-inss-20/?utm_source=linkedin&amp;utm_medium=social&amp;utm_campaign=condominios-2026</t>
  </si>
  <si>
    <t xml:space="preserve">Post com imagem (exemplo R$ 3.000 + R$ 600)</t>
  </si>
  <si>
    <t xml:space="preserve">Retenções em 2027: o PCC de 4,65% vira CSLL de 1%. O que o condomínio precisa ajustar</t>
  </si>
  <si>
    <t xml:space="preserve">Reforma tributária · Retenções</t>
  </si>
  <si>
    <t xml:space="preserve">https://fireflies.com.br/blog/retencoes-2027-pcc-csll-condominio/?utm_source=linkedin&amp;utm_medium=social&amp;utm_campaign=condominios-2026</t>
  </si>
  <si>
    <t xml:space="preserve">Post com imagem (tabela dezembro × janeiro)</t>
  </si>
  <si>
    <t xml:space="preserve">Síndico remunerado: INSS, Imposto de Renda e a isenção da cota</t>
  </si>
  <si>
    <t xml:space="preserve">Síndico · Encargos</t>
  </si>
  <si>
    <t xml:space="preserve">https://fireflies.com.br/blog/remuneracao-do-sindico-inss-ir/?utm_source=linkedin&amp;utm_medium=social&amp;utm_campaign=condominios-2026</t>
  </si>
  <si>
    <t xml:space="preserve">Lembrete</t>
  </si>
  <si>
    <t xml:space="preserve">Contagem regressiva: 2 semanas para a NFS-e do condomínio</t>
  </si>
  <si>
    <t xml:space="preserve">Post curto com imagem (contador "13 dias")</t>
  </si>
  <si>
    <t xml:space="preserve">A publicar</t>
  </si>
  <si>
    <t xml:space="preserve">Retenções no condomínio: o que muda em 2027, 2028 e até 2033 (e o que continua igual)</t>
  </si>
  <si>
    <t xml:space="preserve">https://fireflies.com.br/blog/retencoes-condominio-2027-2028-2033/?utm_source=linkedin&amp;utm_medium=social&amp;utm_campaign=condominios-2026</t>
  </si>
  <si>
    <t xml:space="preserve">Documento PDF (tabela hoje × futuro) ou carrossel</t>
  </si>
  <si>
    <t xml:space="preserve">Contagem regressiva: 1 semana para a NFS-e do condomínio</t>
  </si>
  <si>
    <t xml:space="preserve">https://fireflies.com.br/blog/nfse-condominios-codigo-99-05-01/?utm_source=linkedin&amp;utm_medium=social&amp;utm_campaign=condominios-2026</t>
  </si>
  <si>
    <t xml:space="preserve">Post curto com imagem (contador "6 dias")</t>
  </si>
  <si>
    <t xml:space="preserve">ter</t>
  </si>
  <si>
    <t xml:space="preserve">Começou: NFS-e obrigatória para condomínios</t>
  </si>
  <si>
    <t xml:space="preserve">Resumo</t>
  </si>
  <si>
    <t xml:space="preserve">Artigos no período</t>
  </si>
  <si>
    <t xml:space="preserve">Lembretes (contagem para 01/12)</t>
  </si>
  <si>
    <t xml:space="preserve">Publicados no LinkedIn</t>
  </si>
  <si>
    <t xml:space="preserve">Textos prontos para o LinkedIn (copiar a coluna "Texto completo")</t>
  </si>
  <si>
    <t xml:space="preserve">Gancho = primeira linha, a que aparece antes do "ver mais". O link vai no fim do texto, com rastreio para medir as visitas vindas do LinkedIn.</t>
  </si>
  <si>
    <t xml:space="preserve">Título do artigo</t>
  </si>
  <si>
    <t xml:space="preserve">Gancho (1ª linha)</t>
  </si>
  <si>
    <t xml:space="preserve">Corpo</t>
  </si>
  <si>
    <t xml:space="preserve">Chamada</t>
  </si>
  <si>
    <t xml:space="preserve">Hashtags</t>
  </si>
  <si>
    <t xml:space="preserve">Texto completo (copiar)</t>
  </si>
  <si>
    <t xml:space="preserve">Caracteres</t>
  </si>
  <si>
    <t xml:space="preserve">Faltam 55 dias para o condomínio emitir NFS-e. E o maior risco não está no sistema.</t>
  </si>
  <si>
    <t xml:space="preserve">A partir de 01/12/2026, cada cobrança do condomínio sai em nota fiscal, com o imóvel e o condômino identificados.
Se o cadastro estiver errado, a nota é rejeitada. Todo mês, em cada unidade.
O que conferir agora:
→ Inscrição de IPTU de cada unidade
→ Código CIB, o "CPF do imóvel", nas capitais
→ Nome e CPF de cada proprietário, exatamente como na Receita
→ Inquilino separado do dono, espólios e empresas com CNPJ
No artigo, a lista dos erros mais comuns e como corrigir cada um.</t>
  </si>
  <si>
    <t xml:space="preserve">Leia o roteiro completo até 01/12:
https://fireflies.com.br/blog/reforma-tributaria-condominio-o-que-fazer-ate-dezembro/?utm_source=linkedin&amp;utm_medium=social&amp;utm_campaign=condominios-2026</t>
  </si>
  <si>
    <t xml:space="preserve">#Condomínios #ReformaTributária #NFSe #Administradoras #Síndico</t>
  </si>
  <si>
    <t xml:space="preserve">Quando o fundo de reserva paga a conta de luz, o problema não é o fundo.</t>
  </si>
  <si>
    <t xml:space="preserve">É o orçamento.
O fundo de reserva existe para o imprevisto. Quando ele cobre despesa corrente, o condomínio está gastando hoje o dinheiro da obra de amanhã, e quase sempre sem aprovação da assembleia para isso.
No artigo:
→ O que a lei e a convenção dizem sobre o fundo
→ Quem paga a reposição: proprietário ou inquilino
→ Como separar as duas contas no balancete</t>
  </si>
  <si>
    <t xml:space="preserve">Leia e confira o balancete do seu condomínio:
https://fireflies.com.br/blog/fundo-de-reserva-nao-e-caixa-do-mes/?utm_source=linkedin&amp;utm_medium=social&amp;utm_campaign=condominios-2026</t>
  </si>
  <si>
    <t xml:space="preserve">#Condomínios #Síndico #GestãoFinanceira #FundoDeReserva</t>
  </si>
  <si>
    <t xml:space="preserve">Administradora que tem medo de auditoria está olhando para o lado errado.</t>
  </si>
  <si>
    <t xml:space="preserve">Para quem administra uma carteira de condomínios, a auditoria é:
→ Controle interno: encontra falhas de processo que se repetem em vários condomínios
→ Apoio ao síndico: um parecer técnico para levar à assembleia
→ Segurança: trilha de documentos conferida por terceiro quando aparece uma acusação ou uma autuação
→ Argumento comercial: quem incentiva auditoria mostra que não tem o que esconder
No artigo, um roteiro de 7 passos para implantar na carteira.</t>
  </si>
  <si>
    <t xml:space="preserve">Leia o artigo completo:
https://fireflies.com.br/blog/auditoria-condominial-para-administradoras/?utm_source=linkedin&amp;utm_medium=social&amp;utm_campaign=condominios-2026</t>
  </si>
  <si>
    <t xml:space="preserve">#Administradoras #Condomínios #Auditoria #Compliance</t>
  </si>
  <si>
    <t xml:space="preserve">Auditoria não é acusação. É conferência.</t>
  </si>
  <si>
    <t xml:space="preserve">E alguns sinais mostram que chegou a hora dela:
1. Prestação de contas sem documento
2. Saldo do extrato que não bate com o balancete
3. Fundo de reserva pagando despesa do mês
4. Inadimplência sem cobrança organizada
5. Conselho que aprova sem conferir
No artigo, cada sinal ligado ao que a lei pede do síndico e do conselho.</t>
  </si>
  <si>
    <t xml:space="preserve">Leia os 5 sinais:
https://fireflies.com.br/blog/sinais-auditoria-condominio/?utm_source=linkedin&amp;utm_medium=social&amp;utm_campaign=condominios-2026</t>
  </si>
  <si>
    <t xml:space="preserve">#Condomínios #Síndico #ConselhoFiscal #Auditoria</t>
  </si>
  <si>
    <t xml:space="preserve">O condomínio não paga imposto sobre a cota. Mas pode ser autuado pelo imposto de quem ele contrata.</t>
  </si>
  <si>
    <t xml:space="preserve">Ao pagar limpeza, portaria, vigilância ou manutenção, o condomínio é responsável por reter tributos do prestador. Se não reter, responde pelo valor, com multa e juros.
O mapa:
→ PCC (PIS, Cofins e CSLL): 4,65%
→ INSS: 11% em cessão de mão de obra e empreitada
→ IRRF: só sobre salários de empregados
→ ISS: em São Paulo, 7 tipos de serviço
E as declarações: EFD-Reinf até o dia 15 e DCTFWeb até o dia 25.
No artigo, a tabela completa e um checklist mensal.</t>
  </si>
  <si>
    <t xml:space="preserve">Salve o mapa completo:
https://fireflies.com.br/blog/retencoes-na-fonte-no-condominio/?utm_source=linkedin&amp;utm_medium=social&amp;utm_campaign=condominios-2026</t>
  </si>
  <si>
    <t xml:space="preserve">#Condomínios #Administradoras #Retenções #Tributário</t>
  </si>
  <si>
    <t xml:space="preserve">Manutenção do elevador tem retenção. O conserto do portão, não. Sabe explicar por quê?</t>
  </si>
  <si>
    <t xml:space="preserve">A Receita reforçou o critério em setembro de 2026 (Solução de Consulta Cosit nº 190):
→ Contrato de manutenção ou prestação regular e contínua: retém 4,65%
→ Conserto isolado de um bem defeituoso: não retém
E o condomínio está citado na lei, com todas as letras, entre os obrigados a reter.
No artigo: a lista de serviços, as exceções (Simples, valor mínimo), o DARF 5952 e o que muda em 2027.</t>
  </si>
  <si>
    <t xml:space="preserve">Leia o artigo:
https://fireflies.com.br/blog/retencao-pcc-condominio/?utm_source=linkedin&amp;utm_medium=social&amp;utm_campaign=condominios-2026</t>
  </si>
  <si>
    <t xml:space="preserve">#Condomínios #Retenções #PIS #Cofins #CSLL</t>
  </si>
  <si>
    <t xml:space="preserve">Ainda usa a IN 971/2009 para decidir a retenção de INSS? Ela foi revogada.</t>
  </si>
  <si>
    <t xml:space="preserve">A regra hoje está na IN RFB 2.110/2022, e a Receita consolidou as dispensas em 2025 (IN RFB 2.289/2025).
Pontos que mais geram erro no condomínio:
→ Optante do Simples no Anexo IV (limpeza, vigilância, obras) sofre retenção de 11%
→ Monitoramento eletrônico à distância não tem retenção
→ Materiais só reduzem a base se estiverem previstos no contrato
→ Sem previsão contratual, a base é o valor bruto da nota
No artigo, as dispensas, os percentuais mínimos e um exemplo de cálculo.</t>
  </si>
  <si>
    <t xml:space="preserve">Leia o artigo completo:
https://fireflies.com.br/blog/retencao-inss-11-condominio/?utm_source=linkedin&amp;utm_medium=social&amp;utm_campaign=condominios-2026</t>
  </si>
  <si>
    <t xml:space="preserve">#Condomínios #INSS #Retenções #Administradoras</t>
  </si>
  <si>
    <t xml:space="preserve">Seu condomínio retém IR da empresa de limpeza "por precaução"? Isso também é erro.</t>
  </si>
  <si>
    <t xml:space="preserve">Pelo Parecer Normativo CST nº 37/1972, o condomínio não é obrigado a reter IR sobre serviços de empresas e de autônomos.
Mas há uma exceção que não pode passar: o salário dos empregados próprios. Aí o condomínio é empregador e retém, como qualquer empresa.
E em 2026 a tabela mudou: rendimentos até R$ 5.000 por mês ficaram isentos.
No artigo, os erros mais comuns das administradoras e como evitar.</t>
  </si>
  <si>
    <t xml:space="preserve">Leia o artigo:
https://fireflies.com.br/blog/irrf-condominio-quando-reter/?utm_source=linkedin&amp;utm_medium=social&amp;utm_campaign=condominios-2026</t>
  </si>
  <si>
    <t xml:space="preserve">#Condomínios #ImpostoDeRenda #Retenções #Administradoras</t>
  </si>
  <si>
    <t xml:space="preserve">Em São Paulo, o condomínio é responsável pelo ISS de 7 serviços. Você sabe quais são?</t>
  </si>
  <si>
    <t xml:space="preserve">Limpeza e jardinagem, vigilância e portaria terceirizada estão na lista. Se o condomínio não retém, responde pelo imposto.
E uma mudança que ainda confunde: desde a decisão do STF no Tema 1020, a falta de CPOM do prestador de outro município não obriga mais a reter o ISS para São Paulo.
No artigo, a lista completa com os subitens e o que muda com o IBS a partir de 2029.</t>
  </si>
  <si>
    <t xml:space="preserve">Confira a lista:
https://fireflies.com.br/blog/iss-retido-condominio-sao-paulo/?utm_source=linkedin&amp;utm_medium=social&amp;utm_campaign=condominios-2026</t>
  </si>
  <si>
    <t xml:space="preserve">#Condomínios #ISS #SãoPaulo #Retenções</t>
  </si>
  <si>
    <t xml:space="preserve">O orçamento do MEI era de R$ 3.000. O custo real para o condomínio foi de R$ 3.600.</t>
  </si>
  <si>
    <t xml:space="preserve">MEI não sofre retenção. Mas, em seis serviços, quem contrata paga 20% de contribuição previdenciária sobre o valor:
→ Hidráulica
→ Elétrica
→ Pintura
→ Alvenaria
→ Carpintaria
→ Manutenção de veículos
É a LC 123/2006, art. 18-B, e vale para o condomínio. No artigo, como calcular e como informar no eSocial.</t>
  </si>
  <si>
    <t xml:space="preserve">Leia antes de aprovar o próximo orçamento:
https://fireflies.com.br/blog/condominio-contrata-mei-inss-20/?utm_source=linkedin&amp;utm_medium=social&amp;utm_campaign=condominios-2026</t>
  </si>
  <si>
    <t xml:space="preserve">#Condomínios #MEI #INSS #Síndico</t>
  </si>
  <si>
    <t xml:space="preserve">Nota emitida em dezembro, paga em janeiro: a retenção é 4,65% ou 1%?</t>
  </si>
  <si>
    <t xml:space="preserve">Com o fim do PIS e da Cofins em 01/01/2027, a retenção sobre limpeza, manutenção, vigilância e serviços profissionais passa a ser só de CSLL, 1% (LC 214/2025, art. 509).
O que decide é a data do pagamento. Então a nota de dezembro paga em janeiro já tem 1%.
O que ajustar até dezembro:
→ Sistema de pagamentos
→ Contratos que citam 4,65%
→ Fechamento de dezembro
No artigo, o checklist completo.</t>
  </si>
  <si>
    <t xml:space="preserve">Prepare a virada:
https://fireflies.com.br/blog/retencoes-2027-pcc-csll-condominio/?utm_source=linkedin&amp;utm_medium=social&amp;utm_campaign=condominios-2026</t>
  </si>
  <si>
    <t xml:space="preserve">#ReformaTributária #Condomínios #Retenções #CBS</t>
  </si>
  <si>
    <t xml:space="preserve">Isenção da cota do síndico é remuneração? Para o INSS, sim. Para o IR, Receita e STJ discordam.</t>
  </si>
  <si>
    <t xml:space="preserve">Pró-labore ou isenção da taxa, a remuneração do síndico tem encargos:
→ 20% de INSS pagos pelo condomínio
→ 11% retidos da contribuição do síndico
→ IR pelo carnê-leão, pago pelo próprio síndico
E a isenção da cota: a Receita trata como rendimento tributável; o STJ (REsp 1.606.234/RJ) entendeu que não incide IR.
No artigo, as boas práticas para registrar a remuneração em ata e no eSocial.</t>
  </si>
  <si>
    <t xml:space="preserve">Leia o artigo:
https://fireflies.com.br/blog/remuneracao-do-sindico-inss-ir/?utm_source=linkedin&amp;utm_medium=social&amp;utm_campaign=condominios-2026</t>
  </si>
  <si>
    <t xml:space="preserve">#Síndico #Condomínios #INSS #ImpostoDeRenda</t>
  </si>
  <si>
    <t xml:space="preserve">13 dias. É o que falta para o condomínio emitir NFS-e.</t>
  </si>
  <si>
    <t xml:space="preserve">Se o cadastro ainda não foi revisado, comece pelo que mais gera rejeição:
→ CPF com dígito errado ou inexistente na Receita
→ Unidade ainda em nome da construtora
→ Inquilino cadastrado como titular
O roteiro completo está no artigo.</t>
  </si>
  <si>
    <t xml:space="preserve">Veja o que fazer agora:
https://fireflies.com.br/blog/reforma-tributaria-condominio-o-que-fazer-ate-dezembro/?utm_source=linkedin&amp;utm_medium=social&amp;utm_campaign=condominios-2026</t>
  </si>
  <si>
    <t xml:space="preserve">#Condomínios #NFSe #ReformaTributária</t>
  </si>
  <si>
    <t xml:space="preserve">4,65% vira 1%. 3,5% vira 11%. E o ISS acaba. Seu condomínio está pronto para as próximas viradas?</t>
  </si>
  <si>
    <t xml:space="preserve">A reforma tributária muda as retenções do condomínio aos poucos:
→ 2027: PIS, Cofins e CSLL retidos (4,65%) viram só CSLL, 1%
→ 2028: empresas da desoneração da folha saem dos 3,5% de INSS e voltam para 11%
→ 2029 a 2032: o ISS diminui todo ano
→ 2033: o ISS acaba, e a retenção de ISS também
O que não muda: INSS de 11% na regra geral e o IR sobre salários.
No artigo, uma tabela única de hoje até 2033, separando o que já é lei, o que falta regulamentar e o que ainda é cenário, com exemplos em reais.</t>
  </si>
  <si>
    <t xml:space="preserve">Veja a tabela completa:
https://fireflies.com.br/blog/retencoes-condominio-2027-2028-2033/?utm_source=linkedin&amp;utm_medium=social&amp;utm_campaign=condominios-2026</t>
  </si>
  <si>
    <t xml:space="preserve">#Condomínios #ReformaTributária #Retenções #Administradoras</t>
  </si>
  <si>
    <t xml:space="preserve">Na próxima terça, 01/12, começa a NFS-e do condomínio.</t>
  </si>
  <si>
    <t xml:space="preserve">Checklist da última semana:
→ Acesso ao Emissor Nacional ou à API testado
→ Composição das cotas separada por tipo
→ Cadastro de condôminos conferido
→ Síndicos e conselhos avisados de que a nota não significa, por si só, cobrança de IBS ou CBS</t>
  </si>
  <si>
    <t xml:space="preserve">Releia o guia completo da NFS-e:
https://fireflies.com.br/blog/nfse-condominios-codigo-99-05-01/?utm_source=linkedin&amp;utm_medium=social&amp;utm_campaign=condominios-2026</t>
  </si>
  <si>
    <t xml:space="preserve">#Condomínios #NFSe #Administradoras</t>
  </si>
  <si>
    <t xml:space="preserve">Hoje começa a NFS-e do condomínio. E agora?</t>
  </si>
  <si>
    <t xml:space="preserve">A partir de hoje, as cobranças do condomínio passam a sair em nota fiscal.
Nos primeiros meses, o que mais vai aparecer:
→ Rejeição por CPF ou CNPJ do condômino
→ Notas contra a pessoa errada
→ Divergência entre a nota, o boleto e o recebimento
Se a sua carteira precisar de apoio na virada, fale com a gente.</t>
  </si>
  <si>
    <t xml:space="preserve">Guia e roteiro no nosso blog:
https://fireflies.com.br/blog/nfse-condominios-codigo-99-05-01/?utm_source=linkedin&amp;utm_medium=social&amp;utm_campaign=condominios-2026</t>
  </si>
  <si>
    <t xml:space="preserve">Limite do LinkedIn: 3.000 caracteres por publicação. A coluna "Caracteres" confere cada texto.</t>
  </si>
  <si>
    <t xml:space="preserve">Como usar este calendário</t>
  </si>
  <si>
    <t xml:space="preserve">1. Os 10 artigos novos já entram no site com data e hora pelo arquivo IMPORTAR-pacote-condominios-out-nov-2026.xml. Não é preciso agendar à mão.</t>
  </si>
  <si>
    <t xml:space="preserve">2. No LinkedIn, publique no mesmo dia do artigo, às 8h30 (os artigos saem às quartas e sextas; no LinkedIn, quarta pela manhã costuma render mais que sexta para público B2B).</t>
  </si>
  <si>
    <t xml:space="preserve">3. Copie a coluna "Texto completo" da aba Textos LinkedIn. O link já leva os parâmetros utm, para medir no Google Analytics as visitas vindas do LinkedIn.</t>
  </si>
  <si>
    <t xml:space="preserve">4. Atualize a coluna Status (lista suspensa) e preencha Responsável e Observações (células em amarelo).</t>
  </si>
  <si>
    <t xml:space="preserve">5. Formato: "Post com imagem" usa a imagem de capa do artigo. "Carrossel" e "Documento PDF" pedem uma peça simples com os tópicos do texto, no padrão visual da marca.</t>
  </si>
  <si>
    <t xml:space="preserve">6. Lembretes de 18/11, 25/11 e 01/12 são posts curtos de contagem para a NFS-e, apontando para artigos já publicados.</t>
  </si>
  <si>
    <t xml:space="preserve">Exemplo de linha preenchida pela equipe: Status = "Publicado no LinkedIn" · Responsável = "Gabriel" · Observações = "Publicado às 8h40; 12 comentários".</t>
  </si>
  <si>
    <t xml:space="preserve">Fonte do conteúdo: artigos do blog da Fireflies Consultoria, com as normas citadas em cada um (pesquisa de 07/10/2026).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</si>
</sst>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183A"/>
      <name val="Arial"/>
      <family val="0"/>
      <charset val="1"/>
    </font>
    <font>
      <sz val="10"/>
      <color rgb="FF5E627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E6271"/>
      <name val="Arial"/>
      <family val="0"/>
      <charset val="1"/>
    </font>
    <font>
      <b val="true"/>
      <sz val="12"/>
      <color rgb="FF17183A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183A"/>
        <bgColor rgb="FF003366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2D4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CCFFFF"/>
      <rgbColor rgb="FF660066"/>
      <rgbColor rgb="FFFF8080"/>
      <rgbColor rgb="FF0066CC"/>
      <rgbColor rgb="FFD2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27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18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22"/>
    <col collapsed="false" customWidth="true" hidden="false" outlineLevel="0" max="7" min="7" style="0" width="46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46.25" hidden="false" customHeight="false" outlineLevel="0" collapsed="false">
      <c r="A5" s="4" t="n">
        <v>1</v>
      </c>
      <c r="B5" s="5" t="n">
        <v>46302</v>
      </c>
      <c r="C5" s="4" t="s">
        <v>15</v>
      </c>
      <c r="D5" s="6" t="s">
        <v>16</v>
      </c>
      <c r="E5" s="7" t="s">
        <v>17</v>
      </c>
      <c r="F5" s="6" t="s">
        <v>18</v>
      </c>
      <c r="G5" s="6" t="s">
        <v>19</v>
      </c>
      <c r="H5" s="6" t="s">
        <v>20</v>
      </c>
      <c r="I5" s="4" t="s">
        <v>21</v>
      </c>
      <c r="J5" s="4" t="n">
        <f aca="false">MAX(0,DATE(2026,12,1)-B5)</f>
        <v>55</v>
      </c>
      <c r="K5" s="6" t="s">
        <v>22</v>
      </c>
      <c r="L5" s="8"/>
      <c r="M5" s="8"/>
    </row>
    <row r="6" customFormat="false" ht="35.05" hidden="false" customHeight="false" outlineLevel="0" collapsed="false">
      <c r="A6" s="4" t="n">
        <v>2</v>
      </c>
      <c r="B6" s="5" t="n">
        <v>46304</v>
      </c>
      <c r="C6" s="4" t="s">
        <v>23</v>
      </c>
      <c r="D6" s="6" t="s">
        <v>16</v>
      </c>
      <c r="E6" s="7" t="s">
        <v>24</v>
      </c>
      <c r="F6" s="6" t="s">
        <v>25</v>
      </c>
      <c r="G6" s="6" t="s">
        <v>26</v>
      </c>
      <c r="H6" s="6" t="s">
        <v>27</v>
      </c>
      <c r="I6" s="4" t="s">
        <v>21</v>
      </c>
      <c r="J6" s="4" t="n">
        <f aca="false">MAX(0,DATE(2026,12,1)-B6)</f>
        <v>53</v>
      </c>
      <c r="K6" s="6" t="s">
        <v>28</v>
      </c>
      <c r="L6" s="8"/>
      <c r="M6" s="8"/>
    </row>
    <row r="7" customFormat="false" ht="46.25" hidden="false" customHeight="false" outlineLevel="0" collapsed="false">
      <c r="A7" s="4" t="n">
        <v>3</v>
      </c>
      <c r="B7" s="5" t="n">
        <v>46309</v>
      </c>
      <c r="C7" s="4" t="s">
        <v>15</v>
      </c>
      <c r="D7" s="6" t="s">
        <v>16</v>
      </c>
      <c r="E7" s="7" t="s">
        <v>29</v>
      </c>
      <c r="F7" s="6" t="s">
        <v>30</v>
      </c>
      <c r="G7" s="6" t="s">
        <v>31</v>
      </c>
      <c r="H7" s="6" t="s">
        <v>32</v>
      </c>
      <c r="I7" s="4" t="s">
        <v>21</v>
      </c>
      <c r="J7" s="4" t="n">
        <f aca="false">MAX(0,DATE(2026,12,1)-B7)</f>
        <v>48</v>
      </c>
      <c r="K7" s="6" t="s">
        <v>28</v>
      </c>
      <c r="L7" s="8"/>
      <c r="M7" s="8"/>
    </row>
    <row r="8" customFormat="false" ht="35.05" hidden="false" customHeight="false" outlineLevel="0" collapsed="false">
      <c r="A8" s="4" t="n">
        <v>4</v>
      </c>
      <c r="B8" s="5" t="n">
        <v>46311</v>
      </c>
      <c r="C8" s="4" t="s">
        <v>23</v>
      </c>
      <c r="D8" s="6" t="s">
        <v>16</v>
      </c>
      <c r="E8" s="7" t="s">
        <v>33</v>
      </c>
      <c r="F8" s="6" t="s">
        <v>30</v>
      </c>
      <c r="G8" s="6" t="s">
        <v>34</v>
      </c>
      <c r="H8" s="6" t="s">
        <v>27</v>
      </c>
      <c r="I8" s="4" t="s">
        <v>21</v>
      </c>
      <c r="J8" s="4" t="n">
        <f aca="false">MAX(0,DATE(2026,12,1)-B8)</f>
        <v>46</v>
      </c>
      <c r="K8" s="6" t="s">
        <v>28</v>
      </c>
      <c r="L8" s="8"/>
      <c r="M8" s="8"/>
    </row>
    <row r="9" customFormat="false" ht="35.05" hidden="false" customHeight="false" outlineLevel="0" collapsed="false">
      <c r="A9" s="4" t="n">
        <v>5</v>
      </c>
      <c r="B9" s="5" t="n">
        <v>46316</v>
      </c>
      <c r="C9" s="4" t="s">
        <v>15</v>
      </c>
      <c r="D9" s="6" t="s">
        <v>16</v>
      </c>
      <c r="E9" s="7" t="s">
        <v>35</v>
      </c>
      <c r="F9" s="6" t="s">
        <v>36</v>
      </c>
      <c r="G9" s="6" t="s">
        <v>37</v>
      </c>
      <c r="H9" s="6" t="s">
        <v>38</v>
      </c>
      <c r="I9" s="4" t="s">
        <v>21</v>
      </c>
      <c r="J9" s="4" t="n">
        <f aca="false">MAX(0,DATE(2026,12,1)-B9)</f>
        <v>41</v>
      </c>
      <c r="K9" s="6" t="s">
        <v>28</v>
      </c>
      <c r="L9" s="8"/>
      <c r="M9" s="8"/>
    </row>
    <row r="10" customFormat="false" ht="35.05" hidden="false" customHeight="false" outlineLevel="0" collapsed="false">
      <c r="A10" s="4" t="n">
        <v>6</v>
      </c>
      <c r="B10" s="5" t="n">
        <v>46318</v>
      </c>
      <c r="C10" s="4" t="s">
        <v>23</v>
      </c>
      <c r="D10" s="6" t="s">
        <v>16</v>
      </c>
      <c r="E10" s="7" t="s">
        <v>39</v>
      </c>
      <c r="F10" s="6" t="s">
        <v>40</v>
      </c>
      <c r="G10" s="6" t="s">
        <v>41</v>
      </c>
      <c r="H10" s="6" t="s">
        <v>42</v>
      </c>
      <c r="I10" s="4" t="s">
        <v>21</v>
      </c>
      <c r="J10" s="4" t="n">
        <f aca="false">MAX(0,DATE(2026,12,1)-B10)</f>
        <v>39</v>
      </c>
      <c r="K10" s="6" t="s">
        <v>28</v>
      </c>
      <c r="L10" s="8"/>
      <c r="M10" s="8"/>
    </row>
    <row r="11" customFormat="false" ht="35.05" hidden="false" customHeight="false" outlineLevel="0" collapsed="false">
      <c r="A11" s="4" t="n">
        <v>7</v>
      </c>
      <c r="B11" s="5" t="n">
        <v>46323</v>
      </c>
      <c r="C11" s="4" t="s">
        <v>15</v>
      </c>
      <c r="D11" s="6" t="s">
        <v>16</v>
      </c>
      <c r="E11" s="7" t="s">
        <v>43</v>
      </c>
      <c r="F11" s="6" t="s">
        <v>44</v>
      </c>
      <c r="G11" s="6" t="s">
        <v>45</v>
      </c>
      <c r="H11" s="6" t="s">
        <v>46</v>
      </c>
      <c r="I11" s="4" t="s">
        <v>21</v>
      </c>
      <c r="J11" s="4" t="n">
        <f aca="false">MAX(0,DATE(2026,12,1)-B11)</f>
        <v>34</v>
      </c>
      <c r="K11" s="6" t="s">
        <v>28</v>
      </c>
      <c r="L11" s="8"/>
      <c r="M11" s="8"/>
    </row>
    <row r="12" customFormat="false" ht="35.05" hidden="false" customHeight="false" outlineLevel="0" collapsed="false">
      <c r="A12" s="4" t="n">
        <v>8</v>
      </c>
      <c r="B12" s="5" t="n">
        <v>46325</v>
      </c>
      <c r="C12" s="4" t="s">
        <v>23</v>
      </c>
      <c r="D12" s="6" t="s">
        <v>16</v>
      </c>
      <c r="E12" s="7" t="s">
        <v>47</v>
      </c>
      <c r="F12" s="6" t="s">
        <v>48</v>
      </c>
      <c r="G12" s="6" t="s">
        <v>49</v>
      </c>
      <c r="H12" s="6" t="s">
        <v>27</v>
      </c>
      <c r="I12" s="4" t="s">
        <v>21</v>
      </c>
      <c r="J12" s="4" t="n">
        <f aca="false">MAX(0,DATE(2026,12,1)-B12)</f>
        <v>32</v>
      </c>
      <c r="K12" s="6" t="s">
        <v>28</v>
      </c>
      <c r="L12" s="8"/>
      <c r="M12" s="8"/>
    </row>
    <row r="13" customFormat="false" ht="35.05" hidden="false" customHeight="false" outlineLevel="0" collapsed="false">
      <c r="A13" s="4" t="n">
        <v>9</v>
      </c>
      <c r="B13" s="5" t="n">
        <v>46330</v>
      </c>
      <c r="C13" s="4" t="s">
        <v>15</v>
      </c>
      <c r="D13" s="6" t="s">
        <v>16</v>
      </c>
      <c r="E13" s="7" t="s">
        <v>50</v>
      </c>
      <c r="F13" s="6" t="s">
        <v>51</v>
      </c>
      <c r="G13" s="6" t="s">
        <v>52</v>
      </c>
      <c r="H13" s="6" t="s">
        <v>53</v>
      </c>
      <c r="I13" s="4" t="s">
        <v>21</v>
      </c>
      <c r="J13" s="4" t="n">
        <f aca="false">MAX(0,DATE(2026,12,1)-B13)</f>
        <v>27</v>
      </c>
      <c r="K13" s="6" t="s">
        <v>28</v>
      </c>
      <c r="L13" s="8"/>
      <c r="M13" s="8"/>
    </row>
    <row r="14" customFormat="false" ht="35.05" hidden="false" customHeight="false" outlineLevel="0" collapsed="false">
      <c r="A14" s="4" t="n">
        <v>10</v>
      </c>
      <c r="B14" s="5" t="n">
        <v>46332</v>
      </c>
      <c r="C14" s="4" t="s">
        <v>23</v>
      </c>
      <c r="D14" s="6" t="s">
        <v>16</v>
      </c>
      <c r="E14" s="7" t="s">
        <v>54</v>
      </c>
      <c r="F14" s="6" t="s">
        <v>55</v>
      </c>
      <c r="G14" s="6" t="s">
        <v>56</v>
      </c>
      <c r="H14" s="6" t="s">
        <v>57</v>
      </c>
      <c r="I14" s="4" t="s">
        <v>21</v>
      </c>
      <c r="J14" s="4" t="n">
        <f aca="false">MAX(0,DATE(2026,12,1)-B14)</f>
        <v>25</v>
      </c>
      <c r="K14" s="6" t="s">
        <v>28</v>
      </c>
      <c r="L14" s="8"/>
      <c r="M14" s="8"/>
    </row>
    <row r="15" customFormat="false" ht="35.05" hidden="false" customHeight="false" outlineLevel="0" collapsed="false">
      <c r="A15" s="4" t="n">
        <v>11</v>
      </c>
      <c r="B15" s="5" t="n">
        <v>46337</v>
      </c>
      <c r="C15" s="4" t="s">
        <v>15</v>
      </c>
      <c r="D15" s="6" t="s">
        <v>16</v>
      </c>
      <c r="E15" s="7" t="s">
        <v>58</v>
      </c>
      <c r="F15" s="6" t="s">
        <v>59</v>
      </c>
      <c r="G15" s="6" t="s">
        <v>60</v>
      </c>
      <c r="H15" s="6" t="s">
        <v>61</v>
      </c>
      <c r="I15" s="4" t="s">
        <v>21</v>
      </c>
      <c r="J15" s="4" t="n">
        <f aca="false">MAX(0,DATE(2026,12,1)-B15)</f>
        <v>20</v>
      </c>
      <c r="K15" s="6" t="s">
        <v>28</v>
      </c>
      <c r="L15" s="8"/>
      <c r="M15" s="8"/>
    </row>
    <row r="16" customFormat="false" ht="35.05" hidden="false" customHeight="false" outlineLevel="0" collapsed="false">
      <c r="A16" s="4" t="n">
        <v>12</v>
      </c>
      <c r="B16" s="5" t="n">
        <v>46339</v>
      </c>
      <c r="C16" s="4" t="s">
        <v>23</v>
      </c>
      <c r="D16" s="6" t="s">
        <v>16</v>
      </c>
      <c r="E16" s="7" t="s">
        <v>62</v>
      </c>
      <c r="F16" s="6" t="s">
        <v>63</v>
      </c>
      <c r="G16" s="6" t="s">
        <v>64</v>
      </c>
      <c r="H16" s="6" t="s">
        <v>27</v>
      </c>
      <c r="I16" s="4" t="s">
        <v>21</v>
      </c>
      <c r="J16" s="4" t="n">
        <f aca="false">MAX(0,DATE(2026,12,1)-B16)</f>
        <v>18</v>
      </c>
      <c r="K16" s="6" t="s">
        <v>28</v>
      </c>
      <c r="L16" s="8"/>
      <c r="M16" s="8"/>
    </row>
    <row r="17" customFormat="false" ht="46.25" hidden="false" customHeight="false" outlineLevel="0" collapsed="false">
      <c r="A17" s="4" t="n">
        <v>13</v>
      </c>
      <c r="B17" s="5" t="n">
        <v>46344</v>
      </c>
      <c r="C17" s="4" t="s">
        <v>15</v>
      </c>
      <c r="D17" s="6" t="s">
        <v>65</v>
      </c>
      <c r="E17" s="7" t="s">
        <v>66</v>
      </c>
      <c r="F17" s="6" t="s">
        <v>18</v>
      </c>
      <c r="G17" s="6" t="s">
        <v>19</v>
      </c>
      <c r="H17" s="6" t="s">
        <v>67</v>
      </c>
      <c r="I17" s="4" t="s">
        <v>21</v>
      </c>
      <c r="J17" s="4" t="n">
        <f aca="false">MAX(0,DATE(2026,12,1)-B17)</f>
        <v>13</v>
      </c>
      <c r="K17" s="6" t="s">
        <v>68</v>
      </c>
      <c r="L17" s="8"/>
      <c r="M17" s="8"/>
    </row>
    <row r="18" customFormat="false" ht="35.05" hidden="false" customHeight="false" outlineLevel="0" collapsed="false">
      <c r="A18" s="4" t="n">
        <v>14</v>
      </c>
      <c r="B18" s="5" t="n">
        <v>46346</v>
      </c>
      <c r="C18" s="4" t="s">
        <v>23</v>
      </c>
      <c r="D18" s="6" t="s">
        <v>16</v>
      </c>
      <c r="E18" s="7" t="s">
        <v>69</v>
      </c>
      <c r="F18" s="6" t="s">
        <v>59</v>
      </c>
      <c r="G18" s="6" t="s">
        <v>70</v>
      </c>
      <c r="H18" s="6" t="s">
        <v>71</v>
      </c>
      <c r="I18" s="4" t="s">
        <v>21</v>
      </c>
      <c r="J18" s="4" t="n">
        <f aca="false">MAX(0,DATE(2026,12,1)-B18)</f>
        <v>11</v>
      </c>
      <c r="K18" s="6" t="s">
        <v>28</v>
      </c>
      <c r="L18" s="8"/>
      <c r="M18" s="8"/>
    </row>
    <row r="19" customFormat="false" ht="35.05" hidden="false" customHeight="false" outlineLevel="0" collapsed="false">
      <c r="A19" s="4" t="n">
        <v>15</v>
      </c>
      <c r="B19" s="5" t="n">
        <v>46351</v>
      </c>
      <c r="C19" s="4" t="s">
        <v>15</v>
      </c>
      <c r="D19" s="6" t="s">
        <v>65</v>
      </c>
      <c r="E19" s="7" t="s">
        <v>72</v>
      </c>
      <c r="F19" s="6" t="s">
        <v>18</v>
      </c>
      <c r="G19" s="6" t="s">
        <v>73</v>
      </c>
      <c r="H19" s="6" t="s">
        <v>74</v>
      </c>
      <c r="I19" s="4" t="s">
        <v>21</v>
      </c>
      <c r="J19" s="4" t="n">
        <f aca="false">MAX(0,DATE(2026,12,1)-B19)</f>
        <v>6</v>
      </c>
      <c r="K19" s="6" t="s">
        <v>68</v>
      </c>
      <c r="L19" s="8"/>
      <c r="M19" s="8"/>
    </row>
    <row r="20" customFormat="false" ht="35.05" hidden="false" customHeight="false" outlineLevel="0" collapsed="false">
      <c r="A20" s="4" t="n">
        <v>16</v>
      </c>
      <c r="B20" s="5" t="n">
        <v>46357</v>
      </c>
      <c r="C20" s="4" t="s">
        <v>75</v>
      </c>
      <c r="D20" s="6" t="s">
        <v>65</v>
      </c>
      <c r="E20" s="7" t="s">
        <v>76</v>
      </c>
      <c r="F20" s="6" t="s">
        <v>18</v>
      </c>
      <c r="G20" s="6" t="s">
        <v>73</v>
      </c>
      <c r="H20" s="6" t="s">
        <v>27</v>
      </c>
      <c r="I20" s="4" t="s">
        <v>21</v>
      </c>
      <c r="J20" s="4" t="n">
        <f aca="false">MAX(0,DATE(2026,12,1)-B20)</f>
        <v>0</v>
      </c>
      <c r="K20" s="6" t="s">
        <v>68</v>
      </c>
      <c r="L20" s="8"/>
      <c r="M20" s="8"/>
    </row>
    <row r="22" customFormat="false" ht="15" hidden="false" customHeight="false" outlineLevel="0" collapsed="false">
      <c r="A22" s="9" t="s">
        <v>77</v>
      </c>
    </row>
    <row r="23" customFormat="false" ht="15" hidden="false" customHeight="false" outlineLevel="0" collapsed="false">
      <c r="A23" s="10" t="s">
        <v>78</v>
      </c>
      <c r="E23" s="9" t="n">
        <f aca="false">COUNTIF(D5:D20,"Artigo")</f>
        <v>13</v>
      </c>
    </row>
    <row r="24" customFormat="false" ht="15" hidden="false" customHeight="false" outlineLevel="0" collapsed="false">
      <c r="A24" s="10" t="s">
        <v>79</v>
      </c>
      <c r="E24" s="9" t="n">
        <f aca="false">COUNTIF(D5:D20,"Lembrete")</f>
        <v>3</v>
      </c>
    </row>
    <row r="25" customFormat="false" ht="15" hidden="false" customHeight="false" outlineLevel="0" collapsed="false">
      <c r="A25" s="10" t="s">
        <v>80</v>
      </c>
      <c r="E25" s="9" t="n">
        <f aca="false">COUNTIF(K5:K20,"Publicado no LinkedIn")</f>
        <v>0</v>
      </c>
    </row>
  </sheetData>
  <dataValidations count="1">
    <dataValidation allowBlank="true" errorStyle="stop" operator="between" showDropDown="false" showErrorMessage="false" showInputMessage="false" sqref="K5:K20" type="list">
      <formula1>"A publicar,Agendado no site,Publicado,Publicado no LinkedIn,Adiado"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55"/>
    <col collapsed="false" customWidth="true" hidden="false" outlineLevel="0" max="6" min="6" style="0" width="34"/>
    <col collapsed="false" customWidth="true" hidden="false" outlineLevel="0" max="7" min="7" style="0" width="26"/>
    <col collapsed="false" customWidth="true" hidden="false" outlineLevel="0" max="8" min="8" style="0" width="60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83</v>
      </c>
      <c r="D4" s="3" t="s">
        <v>84</v>
      </c>
      <c r="E4" s="3" t="s">
        <v>85</v>
      </c>
      <c r="F4" s="3" t="s">
        <v>86</v>
      </c>
      <c r="G4" s="3" t="s">
        <v>87</v>
      </c>
      <c r="H4" s="3" t="s">
        <v>88</v>
      </c>
      <c r="I4" s="3" t="s">
        <v>89</v>
      </c>
    </row>
    <row r="5" customFormat="false" ht="259.5" hidden="false" customHeight="true" outlineLevel="0" collapsed="false">
      <c r="A5" s="6" t="n">
        <v>1</v>
      </c>
      <c r="B5" s="5" t="n">
        <v>46302</v>
      </c>
      <c r="C5" s="6" t="s">
        <v>17</v>
      </c>
      <c r="D5" s="7" t="s">
        <v>90</v>
      </c>
      <c r="E5" s="6" t="s">
        <v>91</v>
      </c>
      <c r="F5" s="6" t="s">
        <v>92</v>
      </c>
      <c r="G5" s="6" t="s">
        <v>93</v>
      </c>
      <c r="H5" s="6" t="str">
        <f aca="false">D5&amp;CHAR(10)&amp;CHAR(10)&amp;E5&amp;CHAR(10)&amp;CHAR(10)&amp;F5&amp;CHAR(10)&amp;CHAR(10)&amp;G5</f>
        <v>Faltam 55 dias para o condomínio emitir NFS-e. E o maior risco não está no sistema.
A partir de 01/12/2026, cada cobrança do condomínio sai em nota fiscal, com o imóvel e o condômino identificados.
Se o cadastro estiver errado, a nota é rejeitada. Todo mês, em cada unidade.
O que conferir agora:
→ Inscrição de IPTU de cada unidade
→ Código CIB, o "CPF do imóvel", nas capitais
→ Nome e CPF de cada proprietário, exatamente como na Receita
→ Inquilino separado do dono, espólios e empresas com CNPJ
No artigo, a lista dos erros mais comuns e como corrigir cada um.
Leia o roteiro completo até 01/12:
https://fireflies.com.br/blog/reforma-tributaria-condominio-o-que-fazer-ate-dezembro/?utm_source=linkedin&amp;utm_medium=social&amp;utm_campaign=condominios-2026
#Condomínios #ReformaTributária #NFSe #Administradoras #Síndico</v>
      </c>
      <c r="I5" s="4" t="n">
        <f aca="false">LEN(H5)</f>
        <v>824</v>
      </c>
    </row>
    <row r="6" customFormat="false" ht="259.5" hidden="false" customHeight="true" outlineLevel="0" collapsed="false">
      <c r="A6" s="6" t="n">
        <v>2</v>
      </c>
      <c r="B6" s="5" t="n">
        <v>46304</v>
      </c>
      <c r="C6" s="6" t="s">
        <v>24</v>
      </c>
      <c r="D6" s="7" t="s">
        <v>94</v>
      </c>
      <c r="E6" s="6" t="s">
        <v>95</v>
      </c>
      <c r="F6" s="6" t="s">
        <v>96</v>
      </c>
      <c r="G6" s="6" t="s">
        <v>97</v>
      </c>
      <c r="H6" s="6" t="str">
        <f aca="false">D6&amp;CHAR(10)&amp;CHAR(10)&amp;E6&amp;CHAR(10)&amp;CHAR(10)&amp;F6&amp;CHAR(10)&amp;CHAR(10)&amp;G6</f>
        <v>Quando o fundo de reserva paga a conta de luz, o problema não é o fundo.
É o orçamento.
O fundo de reserva existe para o imprevisto. Quando ele cobre despesa corrente, o condomínio está gastando hoje o dinheiro da obra de amanhã, e quase sempre sem aprovação da assembleia para isso.
No artigo:
→ O que a lei e a convenção dizem sobre o fundo
→ Quem paga a reposição: proprietário ou inquilino
→ Como separar as duas contas no balancete
Leia e confira o balancete do seu condomínio:
https://fireflies.com.br/blog/fundo-de-reserva-nao-e-caixa-do-mes/?utm_source=linkedin&amp;utm_medium=social&amp;utm_campaign=condominios-2026
#Condomínios #Síndico #GestãoFinanceira #FundoDeReserva</v>
      </c>
      <c r="I6" s="4" t="n">
        <f aca="false">LEN(H6)</f>
        <v>678</v>
      </c>
    </row>
    <row r="7" customFormat="false" ht="259.5" hidden="false" customHeight="true" outlineLevel="0" collapsed="false">
      <c r="A7" s="6" t="n">
        <v>3</v>
      </c>
      <c r="B7" s="5" t="n">
        <v>46309</v>
      </c>
      <c r="C7" s="6" t="s">
        <v>29</v>
      </c>
      <c r="D7" s="7" t="s">
        <v>98</v>
      </c>
      <c r="E7" s="6" t="s">
        <v>99</v>
      </c>
      <c r="F7" s="6" t="s">
        <v>100</v>
      </c>
      <c r="G7" s="6" t="s">
        <v>101</v>
      </c>
      <c r="H7" s="6" t="str">
        <f aca="false">D7&amp;CHAR(10)&amp;CHAR(10)&amp;E7&amp;CHAR(10)&amp;CHAR(10)&amp;F7&amp;CHAR(10)&amp;CHAR(10)&amp;G7</f>
        <v>Administradora que tem medo de auditoria está olhando para o lado errado.
Para quem administra uma carteira de condomínios, a auditoria é:
→ Controle interno: encontra falhas de processo que se repetem em vários condomínios
→ Apoio ao síndico: um parecer técnico para levar à assembleia
→ Segurança: trilha de documentos conferida por terceiro quando aparece uma acusação ou uma autuação
→ Argumento comercial: quem incentiva auditoria mostra que não tem o que esconder
No artigo, um roteiro de 7 passos para implantar na carteira.
Leia o artigo completo:
https://fireflies.com.br/blog/auditoria-condominial-para-administradoras/?utm_source=linkedin&amp;utm_medium=social&amp;utm_campaign=condominios-2026
#Administradoras #Condomínios #Auditoria #Compliance</v>
      </c>
      <c r="I7" s="4" t="n">
        <f aca="false">LEN(H7)</f>
        <v>755</v>
      </c>
    </row>
    <row r="8" customFormat="false" ht="259.5" hidden="false" customHeight="true" outlineLevel="0" collapsed="false">
      <c r="A8" s="6" t="n">
        <v>4</v>
      </c>
      <c r="B8" s="5" t="n">
        <v>46311</v>
      </c>
      <c r="C8" s="6" t="s">
        <v>33</v>
      </c>
      <c r="D8" s="7" t="s">
        <v>102</v>
      </c>
      <c r="E8" s="6" t="s">
        <v>103</v>
      </c>
      <c r="F8" s="6" t="s">
        <v>104</v>
      </c>
      <c r="G8" s="6" t="s">
        <v>105</v>
      </c>
      <c r="H8" s="6" t="str">
        <f aca="false">D8&amp;CHAR(10)&amp;CHAR(10)&amp;E8&amp;CHAR(10)&amp;CHAR(10)&amp;F8&amp;CHAR(10)&amp;CHAR(10)&amp;G8</f>
        <v>Auditoria não é acusação. É conferência.
E alguns sinais mostram que chegou a hora dela:
1. Prestação de contas sem documento
2. Saldo do extrato que não bate com o balancete
3. Fundo de reserva pagando despesa do mês
4. Inadimplência sem cobrança organizada
5. Conselho que aprova sem conferir
No artigo, cada sinal ligado ao que a lei pede do síndico e do conselho.
Leia os 5 sinais:
https://fireflies.com.br/blog/sinais-auditoria-condominio/?utm_source=linkedin&amp;utm_medium=social&amp;utm_campaign=condominios-2026
#Condomínios #Síndico #ConselhoFiscal #Auditoria</v>
      </c>
      <c r="I8" s="4" t="n">
        <f aca="false">LEN(H8)</f>
        <v>566</v>
      </c>
    </row>
    <row r="9" customFormat="false" ht="259.5" hidden="false" customHeight="true" outlineLevel="0" collapsed="false">
      <c r="A9" s="6" t="n">
        <v>5</v>
      </c>
      <c r="B9" s="5" t="n">
        <v>46316</v>
      </c>
      <c r="C9" s="6" t="s">
        <v>35</v>
      </c>
      <c r="D9" s="7" t="s">
        <v>106</v>
      </c>
      <c r="E9" s="6" t="s">
        <v>107</v>
      </c>
      <c r="F9" s="6" t="s">
        <v>108</v>
      </c>
      <c r="G9" s="6" t="s">
        <v>109</v>
      </c>
      <c r="H9" s="6" t="str">
        <f aca="false">D9&amp;CHAR(10)&amp;CHAR(10)&amp;E9&amp;CHAR(10)&amp;CHAR(10)&amp;F9&amp;CHAR(10)&amp;CHAR(10)&amp;G9</f>
        <v>O condomínio não paga imposto sobre a cota. Mas pode ser autuado pelo imposto de quem ele contrata.
Ao pagar limpeza, portaria, vigilância ou manutenção, o condomínio é responsável por reter tributos do prestador. Se não reter, responde pelo valor, com multa e juros.
O mapa:
→ PCC (PIS, Cofins e CSLL): 4,65%
→ INSS: 11% em cessão de mão de obra e empreitada
→ IRRF: só sobre salários de empregados
→ ISS: em São Paulo, 7 tipos de serviço
E as declarações: EFD-Reinf até o dia 15 e DCTFWeb até o dia 25.
No artigo, a tabela completa e um checklist mensal.
Salve o mapa completo:
https://fireflies.com.br/blog/retencoes-na-fonte-no-condominio/?utm_source=linkedin&amp;utm_medium=social&amp;utm_campaign=condominios-2026
#Condomínios #Administradoras #Retenções #Tributário</v>
      </c>
      <c r="I9" s="4" t="n">
        <f aca="false">LEN(H9)</f>
        <v>770</v>
      </c>
    </row>
    <row r="10" customFormat="false" ht="259.5" hidden="false" customHeight="true" outlineLevel="0" collapsed="false">
      <c r="A10" s="6" t="n">
        <v>6</v>
      </c>
      <c r="B10" s="5" t="n">
        <v>46318</v>
      </c>
      <c r="C10" s="6" t="s">
        <v>39</v>
      </c>
      <c r="D10" s="7" t="s">
        <v>110</v>
      </c>
      <c r="E10" s="6" t="s">
        <v>111</v>
      </c>
      <c r="F10" s="6" t="s">
        <v>112</v>
      </c>
      <c r="G10" s="6" t="s">
        <v>113</v>
      </c>
      <c r="H10" s="6" t="str">
        <f aca="false">D10&amp;CHAR(10)&amp;CHAR(10)&amp;E10&amp;CHAR(10)&amp;CHAR(10)&amp;F10&amp;CHAR(10)&amp;CHAR(10)&amp;G10</f>
        <v>Manutenção do elevador tem retenção. O conserto do portão, não. Sabe explicar por quê?
A Receita reforçou o critério em setembro de 2026 (Solução de Consulta Cosit nº 190):
→ Contrato de manutenção ou prestação regular e contínua: retém 4,65%
→ Conserto isolado de um bem defeituoso: não retém
E o condomínio está citado na lei, com todas as letras, entre os obrigados a reter.
No artigo: a lista de serviços, as exceções (Simples, valor mínimo), o DARF 5952 e o que muda em 2027.
Leia o artigo:
https://fireflies.com.br/blog/retencao-pcc-condominio/?utm_source=linkedin&amp;utm_medium=social&amp;utm_campaign=condominios-2026
#Condomínios #Retenções #PIS #Cofins #CSLL</v>
      </c>
      <c r="I10" s="4" t="n">
        <f aca="false">LEN(H10)</f>
        <v>667</v>
      </c>
    </row>
    <row r="11" customFormat="false" ht="259.5" hidden="false" customHeight="true" outlineLevel="0" collapsed="false">
      <c r="A11" s="6" t="n">
        <v>7</v>
      </c>
      <c r="B11" s="5" t="n">
        <v>46323</v>
      </c>
      <c r="C11" s="6" t="s">
        <v>43</v>
      </c>
      <c r="D11" s="7" t="s">
        <v>114</v>
      </c>
      <c r="E11" s="6" t="s">
        <v>115</v>
      </c>
      <c r="F11" s="6" t="s">
        <v>116</v>
      </c>
      <c r="G11" s="6" t="s">
        <v>117</v>
      </c>
      <c r="H11" s="6" t="str">
        <f aca="false">D11&amp;CHAR(10)&amp;CHAR(10)&amp;E11&amp;CHAR(10)&amp;CHAR(10)&amp;F11&amp;CHAR(10)&amp;CHAR(10)&amp;G11</f>
        <v>Ainda usa a IN 971/2009 para decidir a retenção de INSS? Ela foi revogada.
A regra hoje está na IN RFB 2.110/2022, e a Receita consolidou as dispensas em 2025 (IN RFB 2.289/2025).
Pontos que mais geram erro no condomínio:
→ Optante do Simples no Anexo IV (limpeza, vigilância, obras) sofre retenção de 11%
→ Monitoramento eletrônico à distância não tem retenção
→ Materiais só reduzem a base se estiverem previstos no contrato
→ Sem previsão contratual, a base é o valor bruto da nota
No artigo, as dispensas, os percentuais mínimos e um exemplo de cálculo.
Leia o artigo completo:
https://fireflies.com.br/blog/retencao-inss-11-condominio/?utm_source=linkedin&amp;utm_medium=social&amp;utm_campaign=condominios-2026
#Condomínios #INSS #Retenções #Administradoras</v>
      </c>
      <c r="I11" s="4" t="n">
        <f aca="false">LEN(H11)</f>
        <v>760</v>
      </c>
    </row>
    <row r="12" customFormat="false" ht="259.5" hidden="false" customHeight="true" outlineLevel="0" collapsed="false">
      <c r="A12" s="6" t="n">
        <v>8</v>
      </c>
      <c r="B12" s="5" t="n">
        <v>46325</v>
      </c>
      <c r="C12" s="6" t="s">
        <v>47</v>
      </c>
      <c r="D12" s="7" t="s">
        <v>118</v>
      </c>
      <c r="E12" s="6" t="s">
        <v>119</v>
      </c>
      <c r="F12" s="6" t="s">
        <v>120</v>
      </c>
      <c r="G12" s="6" t="s">
        <v>121</v>
      </c>
      <c r="H12" s="6" t="str">
        <f aca="false">D12&amp;CHAR(10)&amp;CHAR(10)&amp;E12&amp;CHAR(10)&amp;CHAR(10)&amp;F12&amp;CHAR(10)&amp;CHAR(10)&amp;G12</f>
        <v>Seu condomínio retém IR da empresa de limpeza "por precaução"? Isso também é erro.
Pelo Parecer Normativo CST nº 37/1972, o condomínio não é obrigado a reter IR sobre serviços de empresas e de autônomos.
Mas há uma exceção que não pode passar: o salário dos empregados próprios. Aí o condomínio é empregador e retém, como qualquer empresa.
E em 2026 a tabela mudou: rendimentos até R$ 5.000 por mês ficaram isentos.
No artigo, os erros mais comuns das administradoras e como evitar.
Leia o artigo:
https://fireflies.com.br/blog/irrf-condominio-quando-reter/?utm_source=linkedin&amp;utm_medium=social&amp;utm_campaign=condominios-2026
#Condomínios #ImpostoDeRenda #Retenções #Administradoras</v>
      </c>
      <c r="I12" s="4" t="n">
        <f aca="false">LEN(H12)</f>
        <v>688</v>
      </c>
    </row>
    <row r="13" customFormat="false" ht="259.5" hidden="false" customHeight="true" outlineLevel="0" collapsed="false">
      <c r="A13" s="6" t="n">
        <v>9</v>
      </c>
      <c r="B13" s="5" t="n">
        <v>46330</v>
      </c>
      <c r="C13" s="6" t="s">
        <v>50</v>
      </c>
      <c r="D13" s="7" t="s">
        <v>122</v>
      </c>
      <c r="E13" s="6" t="s">
        <v>123</v>
      </c>
      <c r="F13" s="6" t="s">
        <v>124</v>
      </c>
      <c r="G13" s="6" t="s">
        <v>125</v>
      </c>
      <c r="H13" s="6" t="str">
        <f aca="false">D13&amp;CHAR(10)&amp;CHAR(10)&amp;E13&amp;CHAR(10)&amp;CHAR(10)&amp;F13&amp;CHAR(10)&amp;CHAR(10)&amp;G13</f>
        <v>Em São Paulo, o condomínio é responsável pelo ISS de 7 serviços. Você sabe quais são?
Limpeza e jardinagem, vigilância e portaria terceirizada estão na lista. Se o condomínio não retém, responde pelo imposto.
E uma mudança que ainda confunde: desde a decisão do STF no Tema 1020, a falta de CPOM do prestador de outro município não obriga mais a reter o ISS para São Paulo.
No artigo, a lista completa com os subitens e o que muda com o IBS a partir de 2029.
Confira a lista:
https://fireflies.com.br/blog/iss-retido-condominio-sao-paulo/?utm_source=linkedin&amp;utm_medium=social&amp;utm_campaign=condominios-2026
#Condomínios #ISS #SãoPaulo #Retenções</v>
      </c>
      <c r="I13" s="4" t="n">
        <f aca="false">LEN(H13)</f>
        <v>650</v>
      </c>
    </row>
    <row r="14" customFormat="false" ht="259.5" hidden="false" customHeight="true" outlineLevel="0" collapsed="false">
      <c r="A14" s="6" t="n">
        <v>10</v>
      </c>
      <c r="B14" s="5" t="n">
        <v>46332</v>
      </c>
      <c r="C14" s="6" t="s">
        <v>54</v>
      </c>
      <c r="D14" s="7" t="s">
        <v>126</v>
      </c>
      <c r="E14" s="6" t="s">
        <v>127</v>
      </c>
      <c r="F14" s="6" t="s">
        <v>128</v>
      </c>
      <c r="G14" s="6" t="s">
        <v>129</v>
      </c>
      <c r="H14" s="6" t="str">
        <f aca="false">D14&amp;CHAR(10)&amp;CHAR(10)&amp;E14&amp;CHAR(10)&amp;CHAR(10)&amp;F14&amp;CHAR(10)&amp;CHAR(10)&amp;G14</f>
        <v>O orçamento do MEI era de R$ 3.000. O custo real para o condomínio foi de R$ 3.600.
MEI não sofre retenção. Mas, em seis serviços, quem contrata paga 20% de contribuição previdenciária sobre o valor:
→ Hidráulica
→ Elétrica
→ Pintura
→ Alvenaria
→ Carpintaria
→ Manutenção de veículos
É a LC 123/2006, art. 18-B, e vale para o condomínio. No artigo, como calcular e como informar no eSocial.
Leia antes de aprovar o próximo orçamento:
https://fireflies.com.br/blog/condominio-contrata-mei-inss-20/?utm_source=linkedin&amp;utm_medium=social&amp;utm_campaign=condominios-2026
#Condomínios #MEI #INSS #Síndico</v>
      </c>
      <c r="I14" s="4" t="n">
        <f aca="false">LEN(H14)</f>
        <v>603</v>
      </c>
    </row>
    <row r="15" customFormat="false" ht="259.5" hidden="false" customHeight="true" outlineLevel="0" collapsed="false">
      <c r="A15" s="6" t="n">
        <v>11</v>
      </c>
      <c r="B15" s="5" t="n">
        <v>46337</v>
      </c>
      <c r="C15" s="6" t="s">
        <v>58</v>
      </c>
      <c r="D15" s="7" t="s">
        <v>130</v>
      </c>
      <c r="E15" s="6" t="s">
        <v>131</v>
      </c>
      <c r="F15" s="6" t="s">
        <v>132</v>
      </c>
      <c r="G15" s="6" t="s">
        <v>133</v>
      </c>
      <c r="H15" s="6" t="str">
        <f aca="false">D15&amp;CHAR(10)&amp;CHAR(10)&amp;E15&amp;CHAR(10)&amp;CHAR(10)&amp;F15&amp;CHAR(10)&amp;CHAR(10)&amp;G15</f>
        <v>Nota emitida em dezembro, paga em janeiro: a retenção é 4,65% ou 1%?
Com o fim do PIS e da Cofins em 01/01/2027, a retenção sobre limpeza, manutenção, vigilância e serviços profissionais passa a ser só de CSLL, 1% (LC 214/2025, art. 509).
O que decide é a data do pagamento. Então a nota de dezembro paga em janeiro já tem 1%.
O que ajustar até dezembro:
→ Sistema de pagamentos
→ Contratos que citam 4,65%
→ Fechamento de dezembro
No artigo, o checklist completo.
Prepare a virada:
https://fireflies.com.br/blog/retencoes-2027-pcc-csll-condominio/?utm_source=linkedin&amp;utm_medium=social&amp;utm_campaign=condominios-2026
#ReformaTributária #Condomínios #Retenções #CBS</v>
      </c>
      <c r="I15" s="4" t="n">
        <f aca="false">LEN(H15)</f>
        <v>670</v>
      </c>
    </row>
    <row r="16" customFormat="false" ht="259.5" hidden="false" customHeight="true" outlineLevel="0" collapsed="false">
      <c r="A16" s="6" t="n">
        <v>12</v>
      </c>
      <c r="B16" s="5" t="n">
        <v>46339</v>
      </c>
      <c r="C16" s="6" t="s">
        <v>62</v>
      </c>
      <c r="D16" s="7" t="s">
        <v>134</v>
      </c>
      <c r="E16" s="6" t="s">
        <v>135</v>
      </c>
      <c r="F16" s="6" t="s">
        <v>136</v>
      </c>
      <c r="G16" s="6" t="s">
        <v>137</v>
      </c>
      <c r="H16" s="6" t="str">
        <f aca="false">D16&amp;CHAR(10)&amp;CHAR(10)&amp;E16&amp;CHAR(10)&amp;CHAR(10)&amp;F16&amp;CHAR(10)&amp;CHAR(10)&amp;G16</f>
        <v>Isenção da cota do síndico é remuneração? Para o INSS, sim. Para o IR, Receita e STJ discordam.
Pró-labore ou isenção da taxa, a remuneração do síndico tem encargos:
→ 20% de INSS pagos pelo condomínio
→ 11% retidos da contribuição do síndico
→ IR pelo carnê-leão, pago pelo próprio síndico
E a isenção da cota: a Receita trata como rendimento tributável; o STJ (REsp 1.606.234/RJ) entendeu que não incide IR.
No artigo, as boas práticas para registrar a remuneração em ata e no eSocial.
Leia o artigo:
https://fireflies.com.br/blog/remuneracao-do-sindico-inss-ir/?utm_source=linkedin&amp;utm_medium=social&amp;utm_campaign=condominios-2026
#Síndico #Condomínios #INSS #ImpostoDeRenda</v>
      </c>
      <c r="I16" s="4" t="n">
        <f aca="false">LEN(H16)</f>
        <v>682</v>
      </c>
    </row>
    <row r="17" customFormat="false" ht="259.5" hidden="false" customHeight="true" outlineLevel="0" collapsed="false">
      <c r="A17" s="6" t="n">
        <v>13</v>
      </c>
      <c r="B17" s="5" t="n">
        <v>46344</v>
      </c>
      <c r="C17" s="6" t="s">
        <v>66</v>
      </c>
      <c r="D17" s="7" t="s">
        <v>138</v>
      </c>
      <c r="E17" s="6" t="s">
        <v>139</v>
      </c>
      <c r="F17" s="6" t="s">
        <v>140</v>
      </c>
      <c r="G17" s="6" t="s">
        <v>141</v>
      </c>
      <c r="H17" s="6" t="str">
        <f aca="false">D17&amp;CHAR(10)&amp;CHAR(10)&amp;E17&amp;CHAR(10)&amp;CHAR(10)&amp;F17&amp;CHAR(10)&amp;CHAR(10)&amp;G17</f>
        <v>13 dias. É o que falta para o condomínio emitir NFS-e.
Se o cadastro ainda não foi revisado, comece pelo que mais gera rejeição:
→ CPF com dígito errado ou inexistente na Receita
→ Unidade ainda em nome da construtora
→ Inquilino cadastrado como titular
O roteiro completo está no artigo.
Veja o que fazer agora:
https://fireflies.com.br/blog/reforma-tributaria-condominio-o-que-fazer-ate-dezembro/?utm_source=linkedin&amp;utm_medium=social&amp;utm_campaign=condominios-2026
#Condomínios #NFSe #ReformaTributária</v>
      </c>
      <c r="I17" s="4" t="n">
        <f aca="false">LEN(H17)</f>
        <v>509</v>
      </c>
    </row>
    <row r="18" customFormat="false" ht="259.5" hidden="false" customHeight="true" outlineLevel="0" collapsed="false">
      <c r="A18" s="6" t="n">
        <v>14</v>
      </c>
      <c r="B18" s="5" t="n">
        <v>46346</v>
      </c>
      <c r="C18" s="6" t="s">
        <v>69</v>
      </c>
      <c r="D18" s="7" t="s">
        <v>142</v>
      </c>
      <c r="E18" s="6" t="s">
        <v>143</v>
      </c>
      <c r="F18" s="6" t="s">
        <v>144</v>
      </c>
      <c r="G18" s="6" t="s">
        <v>145</v>
      </c>
      <c r="H18" s="6" t="str">
        <f aca="false">D18&amp;CHAR(10)&amp;CHAR(10)&amp;E18&amp;CHAR(10)&amp;CHAR(10)&amp;F18&amp;CHAR(10)&amp;CHAR(10)&amp;G18</f>
        <v>4,65% vira 1%. 3,5% vira 11%. E o ISS acaba. Seu condomínio está pronto para as próximas viradas?
A reforma tributária muda as retenções do condomínio aos poucos:
→ 2027: PIS, Cofins e CSLL retidos (4,65%) viram só CSLL, 1%
→ 2028: empresas da desoneração da folha saem dos 3,5% de INSS e voltam para 11%
→ 2029 a 2032: o ISS diminui todo ano
→ 2033: o ISS acaba, e a retenção de ISS também
O que não muda: INSS de 11% na regra geral e o IR sobre salários.
No artigo, uma tabela única de hoje até 2033, separando o que já é lei, o que falta regulamentar e o que ainda é cenário, com exemplos em reais.
Veja a tabela completa:
https://fireflies.com.br/blog/retencoes-condominio-2027-2028-2033/?utm_source=linkedin&amp;utm_medium=social&amp;utm_campaign=condominios-2026
#Condomínios #ReformaTributária #Retenções #Administradoras</v>
      </c>
      <c r="I18" s="4" t="n">
        <f aca="false">LEN(H18)</f>
        <v>826</v>
      </c>
    </row>
    <row r="19" customFormat="false" ht="259.5" hidden="false" customHeight="true" outlineLevel="0" collapsed="false">
      <c r="A19" s="6" t="n">
        <v>15</v>
      </c>
      <c r="B19" s="5" t="n">
        <v>46351</v>
      </c>
      <c r="C19" s="6" t="s">
        <v>72</v>
      </c>
      <c r="D19" s="7" t="s">
        <v>146</v>
      </c>
      <c r="E19" s="6" t="s">
        <v>147</v>
      </c>
      <c r="F19" s="6" t="s">
        <v>148</v>
      </c>
      <c r="G19" s="6" t="s">
        <v>149</v>
      </c>
      <c r="H19" s="6" t="str">
        <f aca="false">D19&amp;CHAR(10)&amp;CHAR(10)&amp;E19&amp;CHAR(10)&amp;CHAR(10)&amp;F19&amp;CHAR(10)&amp;CHAR(10)&amp;G19</f>
        <v>Na próxima terça, 01/12, começa a NFS-e do condomínio.
Checklist da última semana:
→ Acesso ao Emissor Nacional ou à API testado
→ Composição das cotas separada por tipo
→ Cadastro de condôminos conferido
→ Síndicos e conselhos avisados de que a nota não significa, por si só, cobrança de IBS ou CBS
Releia o guia completo da NFS-e:
https://fireflies.com.br/blog/nfse-condominios-codigo-99-05-01/?utm_source=linkedin&amp;utm_medium=social&amp;utm_campaign=condominios-2026
#Condomínios #NFSe #Administradoras</v>
      </c>
      <c r="I19" s="4" t="n">
        <f aca="false">LEN(H19)</f>
        <v>504</v>
      </c>
    </row>
    <row r="20" customFormat="false" ht="259.5" hidden="false" customHeight="true" outlineLevel="0" collapsed="false">
      <c r="A20" s="6" t="n">
        <v>16</v>
      </c>
      <c r="B20" s="5" t="n">
        <v>46357</v>
      </c>
      <c r="C20" s="6" t="s">
        <v>76</v>
      </c>
      <c r="D20" s="7" t="s">
        <v>150</v>
      </c>
      <c r="E20" s="6" t="s">
        <v>151</v>
      </c>
      <c r="F20" s="6" t="s">
        <v>152</v>
      </c>
      <c r="G20" s="6" t="s">
        <v>141</v>
      </c>
      <c r="H20" s="6" t="str">
        <f aca="false">D20&amp;CHAR(10)&amp;CHAR(10)&amp;E20&amp;CHAR(10)&amp;CHAR(10)&amp;F20&amp;CHAR(10)&amp;CHAR(10)&amp;G20</f>
        <v>Hoje começa a NFS-e do condomínio. E agora?
A partir de hoje, as cobranças do condomínio passam a sair em nota fiscal.
Nos primeiros meses, o que mais vai aparecer:
→ Rejeição por CPF ou CNPJ do condômino
→ Notas contra a pessoa errada
→ Divergência entre a nota, o boleto e o recebimento
Se a sua carteira precisar de apoio na virada, fale com a gente.
Guia e roteiro no nosso blog:
https://fireflies.com.br/blog/nfse-condominios-codigo-99-05-01/?utm_source=linkedin&amp;utm_medium=social&amp;utm_campaign=condominios-2026
#Condomínios #NFSe #ReformaTributária</v>
      </c>
      <c r="I20" s="4" t="n">
        <f aca="false">LEN(H20)</f>
        <v>558</v>
      </c>
    </row>
    <row r="22" customFormat="false" ht="15" hidden="false" customHeight="false" outlineLevel="0" collapsed="false">
      <c r="A22" s="11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2" t="s">
        <v>154</v>
      </c>
    </row>
    <row r="2" customFormat="false" ht="15" hidden="false" customHeight="false" outlineLevel="0" collapsed="false">
      <c r="A2" s="13" t="s">
        <v>155</v>
      </c>
    </row>
    <row r="3" customFormat="false" ht="15" hidden="false" customHeight="false" outlineLevel="0" collapsed="false">
      <c r="A3" s="13" t="s">
        <v>156</v>
      </c>
    </row>
    <row r="4" customFormat="false" ht="15" hidden="false" customHeight="false" outlineLevel="0" collapsed="false">
      <c r="A4" s="13" t="s">
        <v>157</v>
      </c>
    </row>
    <row r="5" customFormat="false" ht="15" hidden="false" customHeight="false" outlineLevel="0" collapsed="false">
      <c r="A5" s="13" t="s">
        <v>158</v>
      </c>
    </row>
    <row r="6" customFormat="false" ht="15" hidden="false" customHeight="false" outlineLevel="0" collapsed="false">
      <c r="A6" s="13" t="s">
        <v>159</v>
      </c>
    </row>
    <row r="7" customFormat="false" ht="15" hidden="false" customHeight="false" outlineLevel="0" collapsed="false">
      <c r="A7" s="13" t="s">
        <v>160</v>
      </c>
    </row>
    <row r="8" customFormat="false" ht="15" hidden="false" customHeight="false" outlineLevel="0" collapsed="false">
      <c r="A8" s="13"/>
    </row>
    <row r="9" customFormat="false" ht="15" hidden="false" customHeight="false" outlineLevel="0" collapsed="false">
      <c r="A9" s="13" t="s">
        <v>161</v>
      </c>
    </row>
    <row r="10" customFormat="false" ht="15" hidden="false" customHeight="false" outlineLevel="0" collapsed="false">
      <c r="A10" s="13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2026-10-07T16:34:51Z</dcterms:created>
  <dc:creator>openpyxl</dc:creator>
  <dc:description/>
  <dc:language>en-US</dc:language>
  <cp:lastModifiedBy/>
  <dcterms:modified xsi:type="dcterms:W3CDTF">2026-10-07T16:34:51Z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